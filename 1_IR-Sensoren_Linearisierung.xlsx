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ipp\Documents\GitHub\autonom_car\"/>
    </mc:Choice>
  </mc:AlternateContent>
  <xr:revisionPtr revIDLastSave="0" documentId="13_ncr:1_{7A076AD6-5F30-4AC6-BA8A-1B8F1CDE33BB}" xr6:coauthVersionLast="47" xr6:coauthVersionMax="47" xr10:uidLastSave="{00000000-0000-0000-0000-000000000000}"/>
  <bookViews>
    <workbookView xWindow="-98" yWindow="-98" windowWidth="21795" windowHeight="12975" activeTab="1" xr2:uid="{3FAD9BF2-B5AE-4568-AE41-C64B5EC617C1}"/>
  </bookViews>
  <sheets>
    <sheet name="Front" sheetId="1" r:id="rId1"/>
    <sheet name="Left" sheetId="2" r:id="rId2"/>
    <sheet name="Right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3"/>
  <c r="C7" i="3"/>
  <c r="C6" i="3"/>
  <c r="C5" i="3"/>
  <c r="C4" i="3"/>
  <c r="C3" i="3"/>
  <c r="C2" i="3"/>
  <c r="C2" i="2"/>
  <c r="D19" i="3" l="1"/>
  <c r="D21" i="3"/>
  <c r="D20" i="3" l="1"/>
  <c r="D4" i="3"/>
  <c r="D5" i="3"/>
  <c r="D6" i="3"/>
  <c r="D7" i="3"/>
  <c r="D22" i="3" l="1"/>
  <c r="D3" i="3"/>
  <c r="D2" i="3"/>
  <c r="D9" i="3"/>
  <c r="D8" i="3"/>
  <c r="C9" i="2"/>
  <c r="C8" i="2"/>
  <c r="C7" i="2"/>
  <c r="C6" i="2"/>
  <c r="C5" i="2"/>
  <c r="C4" i="2"/>
  <c r="C3" i="2"/>
  <c r="C2" i="1"/>
  <c r="C10" i="1"/>
  <c r="C15" i="1"/>
  <c r="C14" i="1"/>
  <c r="C3" i="1"/>
  <c r="C4" i="1"/>
  <c r="C5" i="1"/>
  <c r="C6" i="1"/>
  <c r="C7" i="1"/>
  <c r="C8" i="1"/>
  <c r="C9" i="1"/>
  <c r="C11" i="1"/>
  <c r="C12" i="1"/>
  <c r="C13" i="1"/>
  <c r="E7" i="3" l="1"/>
  <c r="E6" i="3"/>
  <c r="E5" i="3"/>
  <c r="E4" i="3"/>
  <c r="E3" i="3"/>
  <c r="E2" i="3"/>
  <c r="E9" i="3"/>
  <c r="E8" i="3"/>
  <c r="D19" i="2"/>
  <c r="D21" i="2" s="1"/>
  <c r="D19" i="1"/>
  <c r="D20" i="1"/>
  <c r="D20" i="2" l="1"/>
  <c r="D2" i="2" s="1"/>
  <c r="D21" i="1"/>
  <c r="D15" i="1"/>
  <c r="D22" i="1"/>
  <c r="D2" i="1"/>
  <c r="D8" i="1"/>
  <c r="D4" i="1"/>
  <c r="D11" i="1"/>
  <c r="D5" i="1"/>
  <c r="D13" i="1"/>
  <c r="D22" i="2" l="1"/>
  <c r="D3" i="2"/>
  <c r="D9" i="2"/>
  <c r="D8" i="2"/>
  <c r="D6" i="2"/>
  <c r="D7" i="2"/>
  <c r="D5" i="2"/>
  <c r="D4" i="2"/>
  <c r="D14" i="1"/>
  <c r="D6" i="1"/>
  <c r="D9" i="1"/>
  <c r="D7" i="1"/>
  <c r="D3" i="1"/>
  <c r="D12" i="1"/>
  <c r="D10" i="1"/>
  <c r="E10" i="1"/>
  <c r="E5" i="1"/>
  <c r="E14" i="1"/>
  <c r="E12" i="1"/>
  <c r="E6" i="1"/>
  <c r="E2" i="1"/>
  <c r="E3" i="1"/>
  <c r="E4" i="1"/>
  <c r="E7" i="1"/>
  <c r="E8" i="1"/>
  <c r="E9" i="1"/>
  <c r="E15" i="1"/>
  <c r="E13" i="1"/>
  <c r="E11" i="1"/>
  <c r="E2" i="2" l="1"/>
  <c r="E9" i="2"/>
  <c r="E8" i="2"/>
  <c r="E7" i="2"/>
  <c r="E3" i="2"/>
  <c r="E6" i="2"/>
  <c r="E5" i="2"/>
  <c r="E4" i="2"/>
</calcChain>
</file>

<file path=xl/sharedStrings.xml><?xml version="1.0" encoding="utf-8"?>
<sst xmlns="http://schemas.openxmlformats.org/spreadsheetml/2006/main" count="45" uniqueCount="15">
  <si>
    <t>1 / (l+k)</t>
  </si>
  <si>
    <t>d =</t>
  </si>
  <si>
    <t>m =</t>
  </si>
  <si>
    <t>m*ADC+d</t>
  </si>
  <si>
    <t>m' =</t>
  </si>
  <si>
    <t xml:space="preserve">d' = </t>
  </si>
  <si>
    <t>ADC Werte</t>
  </si>
  <si>
    <t>Länge l</t>
  </si>
  <si>
    <t>=1/m</t>
  </si>
  <si>
    <t>x = ADC Wert</t>
  </si>
  <si>
    <t>m'/(ADC + d') - k</t>
  </si>
  <si>
    <t>l = Wert in Zentimeter</t>
  </si>
  <si>
    <t>=d/m</t>
  </si>
  <si>
    <t xml:space="preserve">k = </t>
  </si>
  <si>
    <t>l = (m'  / (x + d')) -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</si>
</sst>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Front!$B$1</c:f>
              <c:strCache>
                <c:ptCount val="1"/>
                <c:pt idx="0">
                  <c:v>ADC 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Front!$A$2:$A$13</c:f>
              <c:numCache>
                <c:formatCode>General</c:formatCode>
                <c:ptCount val="12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</c:numCache>
            </c:numRef>
          </c:xVal>
          <c:yVal>
            <c:numRef>
              <c:f>Front!$B$2:$B$13</c:f>
              <c:numCache>
                <c:formatCode>General</c:formatCode>
                <c:ptCount val="12"/>
                <c:pt idx="0">
                  <c:v>420</c:v>
                </c:pt>
                <c:pt idx="1">
                  <c:v>330</c:v>
                </c:pt>
                <c:pt idx="2">
                  <c:v>280</c:v>
                </c:pt>
                <c:pt idx="3">
                  <c:v>250</c:v>
                </c:pt>
                <c:pt idx="4">
                  <c:v>220</c:v>
                </c:pt>
                <c:pt idx="5">
                  <c:v>190</c:v>
                </c:pt>
                <c:pt idx="6">
                  <c:v>170</c:v>
                </c:pt>
                <c:pt idx="7">
                  <c:v>150</c:v>
                </c:pt>
                <c:pt idx="8">
                  <c:v>130</c:v>
                </c:pt>
                <c:pt idx="9">
                  <c:v>120</c:v>
                </c:pt>
                <c:pt idx="10">
                  <c:v>110</c:v>
                </c:pt>
                <c:pt idx="1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D6-4685-BCC2-D2FFCD3F6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Näherungsgerade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Front!$C$1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Front!$B$2:$B$15</c:f>
              <c:numCache>
                <c:formatCode>General</c:formatCode>
                <c:ptCount val="14"/>
                <c:pt idx="0">
                  <c:v>420</c:v>
                </c:pt>
                <c:pt idx="1">
                  <c:v>330</c:v>
                </c:pt>
                <c:pt idx="2">
                  <c:v>280</c:v>
                </c:pt>
                <c:pt idx="3">
                  <c:v>250</c:v>
                </c:pt>
                <c:pt idx="4">
                  <c:v>220</c:v>
                </c:pt>
                <c:pt idx="5">
                  <c:v>190</c:v>
                </c:pt>
                <c:pt idx="6">
                  <c:v>170</c:v>
                </c:pt>
                <c:pt idx="7">
                  <c:v>150</c:v>
                </c:pt>
                <c:pt idx="8">
                  <c:v>130</c:v>
                </c:pt>
                <c:pt idx="9">
                  <c:v>120</c:v>
                </c:pt>
                <c:pt idx="10">
                  <c:v>110</c:v>
                </c:pt>
                <c:pt idx="11">
                  <c:v>100</c:v>
                </c:pt>
                <c:pt idx="12">
                  <c:v>90</c:v>
                </c:pt>
                <c:pt idx="13">
                  <c:v>70</c:v>
                </c:pt>
              </c:numCache>
            </c:numRef>
          </c:xVal>
          <c:yVal>
            <c:numRef>
              <c:f>Front!$C$2:$C$15</c:f>
              <c:numCache>
                <c:formatCode>General</c:formatCode>
                <c:ptCount val="14"/>
                <c:pt idx="0">
                  <c:v>2.8571428571428571E-2</c:v>
                </c:pt>
                <c:pt idx="1">
                  <c:v>2.2222222222222223E-2</c:v>
                </c:pt>
                <c:pt idx="2">
                  <c:v>1.8181818181818181E-2</c:v>
                </c:pt>
                <c:pt idx="3">
                  <c:v>1.5384615384615385E-2</c:v>
                </c:pt>
                <c:pt idx="4">
                  <c:v>1.3333333333333334E-2</c:v>
                </c:pt>
                <c:pt idx="5">
                  <c:v>1.1764705882352941E-2</c:v>
                </c:pt>
                <c:pt idx="6">
                  <c:v>1.0526315789473684E-2</c:v>
                </c:pt>
                <c:pt idx="7">
                  <c:v>9.5238095238095247E-3</c:v>
                </c:pt>
                <c:pt idx="8">
                  <c:v>8.6956521739130436E-3</c:v>
                </c:pt>
                <c:pt idx="9">
                  <c:v>8.0000000000000002E-3</c:v>
                </c:pt>
                <c:pt idx="10">
                  <c:v>7.4074074074074077E-3</c:v>
                </c:pt>
                <c:pt idx="11">
                  <c:v>6.8965517241379309E-3</c:v>
                </c:pt>
                <c:pt idx="12">
                  <c:v>6.4516129032258064E-3</c:v>
                </c:pt>
                <c:pt idx="13">
                  <c:v>6.0606060606060606E-3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9-4248-922E-0CB7EC643FE7}"/>
            </c:ext>
          </c:extLst>
        </c:ser>
        <c:ser>
          <c:idx val="1"/>
          <c:order val="1"/>
          <c:tx>
            <c:strRef>
              <c:f>Front!$D$1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Front!$B$2:$B$15</c:f>
              <c:numCache>
                <c:formatCode>General</c:formatCode>
                <c:ptCount val="14"/>
                <c:pt idx="0">
                  <c:v>420</c:v>
                </c:pt>
                <c:pt idx="1">
                  <c:v>330</c:v>
                </c:pt>
                <c:pt idx="2">
                  <c:v>280</c:v>
                </c:pt>
                <c:pt idx="3">
                  <c:v>250</c:v>
                </c:pt>
                <c:pt idx="4">
                  <c:v>220</c:v>
                </c:pt>
                <c:pt idx="5">
                  <c:v>190</c:v>
                </c:pt>
                <c:pt idx="6">
                  <c:v>170</c:v>
                </c:pt>
                <c:pt idx="7">
                  <c:v>150</c:v>
                </c:pt>
                <c:pt idx="8">
                  <c:v>130</c:v>
                </c:pt>
                <c:pt idx="9">
                  <c:v>120</c:v>
                </c:pt>
                <c:pt idx="10">
                  <c:v>110</c:v>
                </c:pt>
                <c:pt idx="11">
                  <c:v>100</c:v>
                </c:pt>
                <c:pt idx="12">
                  <c:v>90</c:v>
                </c:pt>
                <c:pt idx="13">
                  <c:v>70</c:v>
                </c:pt>
              </c:numCache>
            </c:numRef>
          </c:xVal>
          <c:yVal>
            <c:numRef>
              <c:f>Front!$D$2:$D$15</c:f>
              <c:numCache>
                <c:formatCode>General</c:formatCode>
                <c:ptCount val="14"/>
                <c:pt idx="0">
                  <c:v>2.7676102699144171E-2</c:v>
                </c:pt>
                <c:pt idx="1">
                  <c:v>2.1887605482075526E-2</c:v>
                </c:pt>
                <c:pt idx="2">
                  <c:v>1.867177369481517E-2</c:v>
                </c:pt>
                <c:pt idx="3">
                  <c:v>1.6742274622458954E-2</c:v>
                </c:pt>
                <c:pt idx="4">
                  <c:v>1.4812775550102738E-2</c:v>
                </c:pt>
                <c:pt idx="5">
                  <c:v>1.2883276477746524E-2</c:v>
                </c:pt>
                <c:pt idx="6">
                  <c:v>1.159694376284238E-2</c:v>
                </c:pt>
                <c:pt idx="7">
                  <c:v>1.0310611047938236E-2</c:v>
                </c:pt>
                <c:pt idx="8">
                  <c:v>9.0242783330340935E-3</c:v>
                </c:pt>
                <c:pt idx="9">
                  <c:v>8.3811119755820215E-3</c:v>
                </c:pt>
                <c:pt idx="10">
                  <c:v>7.7379456181299495E-3</c:v>
                </c:pt>
                <c:pt idx="11">
                  <c:v>7.0947792606778784E-3</c:v>
                </c:pt>
                <c:pt idx="12">
                  <c:v>6.4516129032258064E-3</c:v>
                </c:pt>
                <c:pt idx="13">
                  <c:v>5.1652801883216633E-3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59-4248-922E-0CB7EC643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Left!$B$1</c:f>
              <c:strCache>
                <c:ptCount val="1"/>
                <c:pt idx="0">
                  <c:v>ADC 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Left!$A$3:$A$13</c:f>
              <c:numCache>
                <c:formatCode>General</c:formatCode>
                <c:ptCount val="11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</c:numCache>
            </c:numRef>
          </c:xVal>
          <c:yVal>
            <c:numRef>
              <c:f>Left!$B$3:$B$13</c:f>
              <c:numCache>
                <c:formatCode>General</c:formatCode>
                <c:ptCount val="11"/>
                <c:pt idx="0">
                  <c:v>268</c:v>
                </c:pt>
                <c:pt idx="1">
                  <c:v>197</c:v>
                </c:pt>
                <c:pt idx="2">
                  <c:v>148</c:v>
                </c:pt>
                <c:pt idx="3">
                  <c:v>120</c:v>
                </c:pt>
                <c:pt idx="4">
                  <c:v>100</c:v>
                </c:pt>
                <c:pt idx="5">
                  <c:v>85</c:v>
                </c:pt>
                <c:pt idx="6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85-4B46-8552-527451A67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Näherungsgerade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Left!$C$1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Left!$B$3:$B$9</c:f>
              <c:numCache>
                <c:formatCode>General</c:formatCode>
                <c:ptCount val="7"/>
                <c:pt idx="0">
                  <c:v>268</c:v>
                </c:pt>
                <c:pt idx="1">
                  <c:v>197</c:v>
                </c:pt>
                <c:pt idx="2">
                  <c:v>148</c:v>
                </c:pt>
                <c:pt idx="3">
                  <c:v>120</c:v>
                </c:pt>
                <c:pt idx="4">
                  <c:v>100</c:v>
                </c:pt>
                <c:pt idx="5">
                  <c:v>85</c:v>
                </c:pt>
                <c:pt idx="6">
                  <c:v>75</c:v>
                </c:pt>
              </c:numCache>
            </c:numRef>
          </c:xVal>
          <c:yVal>
            <c:numRef>
              <c:f>Left!$C$3:$C$9</c:f>
              <c:numCache>
                <c:formatCode>General</c:formatCode>
                <c:ptCount val="7"/>
                <c:pt idx="0">
                  <c:v>0.04</c:v>
                </c:pt>
                <c:pt idx="1">
                  <c:v>2.8571428571428571E-2</c:v>
                </c:pt>
                <c:pt idx="2">
                  <c:v>2.2222222222222223E-2</c:v>
                </c:pt>
                <c:pt idx="3">
                  <c:v>1.8181818181818181E-2</c:v>
                </c:pt>
                <c:pt idx="4">
                  <c:v>1.5384615384615385E-2</c:v>
                </c:pt>
                <c:pt idx="5">
                  <c:v>1.3333333333333334E-2</c:v>
                </c:pt>
                <c:pt idx="6">
                  <c:v>1.1764705882352941E-2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A0-4EFE-BEB3-61D859D5705B}"/>
            </c:ext>
          </c:extLst>
        </c:ser>
        <c:ser>
          <c:idx val="1"/>
          <c:order val="1"/>
          <c:tx>
            <c:strRef>
              <c:f>Left!$D$1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Left!$B$3:$B$9</c:f>
              <c:numCache>
                <c:formatCode>General</c:formatCode>
                <c:ptCount val="7"/>
                <c:pt idx="0">
                  <c:v>268</c:v>
                </c:pt>
                <c:pt idx="1">
                  <c:v>197</c:v>
                </c:pt>
                <c:pt idx="2">
                  <c:v>148</c:v>
                </c:pt>
                <c:pt idx="3">
                  <c:v>120</c:v>
                </c:pt>
                <c:pt idx="4">
                  <c:v>100</c:v>
                </c:pt>
                <c:pt idx="5">
                  <c:v>85</c:v>
                </c:pt>
                <c:pt idx="6">
                  <c:v>75</c:v>
                </c:pt>
              </c:numCache>
            </c:numRef>
          </c:xVal>
          <c:yVal>
            <c:numRef>
              <c:f>Left!$D$3:$D$9</c:f>
              <c:numCache>
                <c:formatCode>General</c:formatCode>
                <c:ptCount val="7"/>
                <c:pt idx="0">
                  <c:v>3.9777845507805887E-2</c:v>
                </c:pt>
                <c:pt idx="1">
                  <c:v>2.9390768397168886E-2</c:v>
                </c:pt>
                <c:pt idx="2">
                  <c:v>2.2222222222222223E-2</c:v>
                </c:pt>
                <c:pt idx="3">
                  <c:v>1.8125910122252703E-2</c:v>
                </c:pt>
                <c:pt idx="4">
                  <c:v>1.5199972907988758E-2</c:v>
                </c:pt>
                <c:pt idx="5">
                  <c:v>1.30055199972908E-2</c:v>
                </c:pt>
                <c:pt idx="6">
                  <c:v>1.1542551390158829E-2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A0-4EFE-BEB3-61D859D57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Right!$B$1</c:f>
              <c:strCache>
                <c:ptCount val="1"/>
                <c:pt idx="0">
                  <c:v>ADC Werte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Right!$A$3:$A$13</c:f>
              <c:numCache>
                <c:formatCode>General</c:formatCode>
                <c:ptCount val="11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</c:numCache>
            </c:numRef>
          </c:xVal>
          <c:yVal>
            <c:numRef>
              <c:f>Right!$B$3:$B$13</c:f>
              <c:numCache>
                <c:formatCode>General</c:formatCode>
                <c:ptCount val="11"/>
                <c:pt idx="0">
                  <c:v>273</c:v>
                </c:pt>
                <c:pt idx="1">
                  <c:v>202</c:v>
                </c:pt>
                <c:pt idx="2">
                  <c:v>150</c:v>
                </c:pt>
                <c:pt idx="3">
                  <c:v>119</c:v>
                </c:pt>
                <c:pt idx="4">
                  <c:v>98</c:v>
                </c:pt>
                <c:pt idx="5">
                  <c:v>88</c:v>
                </c:pt>
                <c:pt idx="6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5A-496E-ACA9-ED084F8E7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75712"/>
        <c:axId val="484240688"/>
      </c:scatterChart>
      <c:valAx>
        <c:axId val="4925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40688"/>
        <c:crosses val="autoZero"/>
        <c:crossBetween val="midCat"/>
      </c:valAx>
      <c:valAx>
        <c:axId val="4842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7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Näherungsgerade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Right!$C$1</c:f>
              <c:strCache>
                <c:ptCount val="1"/>
                <c:pt idx="0">
                  <c:v>1 / (l+k)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Right!$B$3:$B$9</c:f>
              <c:numCache>
                <c:formatCode>General</c:formatCode>
                <c:ptCount val="7"/>
                <c:pt idx="0">
                  <c:v>273</c:v>
                </c:pt>
                <c:pt idx="1">
                  <c:v>202</c:v>
                </c:pt>
                <c:pt idx="2">
                  <c:v>150</c:v>
                </c:pt>
                <c:pt idx="3">
                  <c:v>119</c:v>
                </c:pt>
                <c:pt idx="4">
                  <c:v>98</c:v>
                </c:pt>
                <c:pt idx="5">
                  <c:v>88</c:v>
                </c:pt>
                <c:pt idx="6">
                  <c:v>74</c:v>
                </c:pt>
              </c:numCache>
            </c:numRef>
          </c:xVal>
          <c:yVal>
            <c:numRef>
              <c:f>Right!$C$3:$C$9</c:f>
              <c:numCache>
                <c:formatCode>General</c:formatCode>
                <c:ptCount val="7"/>
                <c:pt idx="0">
                  <c:v>3.7037037037037035E-2</c:v>
                </c:pt>
                <c:pt idx="1">
                  <c:v>2.7027027027027029E-2</c:v>
                </c:pt>
                <c:pt idx="2">
                  <c:v>2.1276595744680851E-2</c:v>
                </c:pt>
                <c:pt idx="3">
                  <c:v>1.7543859649122806E-2</c:v>
                </c:pt>
                <c:pt idx="4">
                  <c:v>1.4925373134328358E-2</c:v>
                </c:pt>
                <c:pt idx="5">
                  <c:v>1.2987012987012988E-2</c:v>
                </c:pt>
                <c:pt idx="6">
                  <c:v>1.1494252873563218E-2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26-4356-9F11-6780923E0CE8}"/>
            </c:ext>
          </c:extLst>
        </c:ser>
        <c:ser>
          <c:idx val="1"/>
          <c:order val="1"/>
          <c:tx>
            <c:strRef>
              <c:f>Right!$D$1</c:f>
              <c:strCache>
                <c:ptCount val="1"/>
                <c:pt idx="0">
                  <c:v>m*ADC+d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Right!$B$3:$B$9</c:f>
              <c:numCache>
                <c:formatCode>General</c:formatCode>
                <c:ptCount val="7"/>
                <c:pt idx="0">
                  <c:v>273</c:v>
                </c:pt>
                <c:pt idx="1">
                  <c:v>202</c:v>
                </c:pt>
                <c:pt idx="2">
                  <c:v>150</c:v>
                </c:pt>
                <c:pt idx="3">
                  <c:v>119</c:v>
                </c:pt>
                <c:pt idx="4">
                  <c:v>98</c:v>
                </c:pt>
                <c:pt idx="5">
                  <c:v>88</c:v>
                </c:pt>
                <c:pt idx="6">
                  <c:v>74</c:v>
                </c:pt>
              </c:numCache>
            </c:numRef>
          </c:xVal>
          <c:yVal>
            <c:numRef>
              <c:f>Right!$D$3:$D$9</c:f>
              <c:numCache>
                <c:formatCode>General</c:formatCode>
                <c:ptCount val="7"/>
                <c:pt idx="0">
                  <c:v>3.7064346760295325E-2</c:v>
                </c:pt>
                <c:pt idx="1">
                  <c:v>2.7951092109005666E-2</c:v>
                </c:pt>
                <c:pt idx="2">
                  <c:v>2.1276595744680851E-2</c:v>
                </c:pt>
                <c:pt idx="3">
                  <c:v>1.7297569065948745E-2</c:v>
                </c:pt>
                <c:pt idx="4">
                  <c:v>1.4602099380356033E-2</c:v>
                </c:pt>
                <c:pt idx="5">
                  <c:v>1.3318542387216645E-2</c:v>
                </c:pt>
                <c:pt idx="6">
                  <c:v>1.1521562596821503E-2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26-4356-9F11-6780923E0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582432"/>
        <c:axId val="484238208"/>
      </c:scatterChart>
      <c:valAx>
        <c:axId val="49258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4238208"/>
        <c:crosses val="autoZero"/>
        <c:crossBetween val="midCat"/>
      </c:valAx>
      <c:valAx>
        <c:axId val="4842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582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C9E1EAD-7EAB-B118-CC27-EA73A69B2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137086</xdr:colOff>
      <xdr:row>0</xdr:row>
      <xdr:rowOff>114300</xdr:rowOff>
    </xdr:from>
    <xdr:to>
      <xdr:col>11</xdr:col>
      <xdr:colOff>470</xdr:colOff>
      <xdr:row>15</xdr:row>
      <xdr:rowOff>103615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11B83F-9E89-742D-41E1-1F174A499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233B73F-4E9E-4532-8839-ABFA4A54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137086</xdr:colOff>
      <xdr:row>0</xdr:row>
      <xdr:rowOff>114300</xdr:rowOff>
    </xdr:from>
    <xdr:to>
      <xdr:col>11</xdr:col>
      <xdr:colOff>470</xdr:colOff>
      <xdr:row>15</xdr:row>
      <xdr:rowOff>103615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C046122-FD79-4FCE-B742-962D90A79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126366</xdr:colOff>
      <xdr:row>16</xdr:row>
      <xdr:rowOff>40323</xdr:rowOff>
    </xdr:from>
    <xdr:to>
      <xdr:col>10</xdr:col>
      <xdr:colOff>227240</xdr:colOff>
      <xdr:row>31</xdr:row>
      <xdr:rowOff>28077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313206A-826A-4F4A-A9D4-38E2AF2FB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137086</xdr:colOff>
      <xdr:row>0</xdr:row>
      <xdr:rowOff>114300</xdr:rowOff>
    </xdr:from>
    <xdr:to>
      <xdr:col>11</xdr:col>
      <xdr:colOff>470</xdr:colOff>
      <xdr:row>15</xdr:row>
      <xdr:rowOff>103615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FF9C7BE-4B39-4102-A2B4-9C0EA532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582-8EC9-4773-B372-BA84A49938AD}">
  <dimension ref="A1:E26"/>
  <sheetViews>
    <sheetView zoomScale="107" zoomScaleNormal="100" workbookViewId="0">
      <selection activeCell="E17" sqref="E17"/>
    </sheetView>
  </sheetViews>
  <sheetFormatPr baseColWidth="10" defaultRowHeight="14.25" x14ac:dyDescent="0.45"/>
  <cols>
    <col min="4" max="4" width="12.46484375" bestFit="1" customWidth="1"/>
    <col min="5" max="5" width="12" customWidth="1"/>
  </cols>
  <sheetData>
    <row r="1" spans="1:5" x14ac:dyDescent="0.45">
      <c r="A1" t="s">
        <v>7</v>
      </c>
      <c r="B1" t="s">
        <v>6</v>
      </c>
      <c r="C1" t="s">
        <v>0</v>
      </c>
      <c r="D1" t="s">
        <v>3</v>
      </c>
      <c r="E1" t="s">
        <v>10</v>
      </c>
    </row>
    <row r="2" spans="1:5" x14ac:dyDescent="0.45">
      <c r="A2">
        <v>20</v>
      </c>
      <c r="B2" s="2">
        <v>420</v>
      </c>
      <c r="C2">
        <f>1/(A2+$D$18)</f>
        <v>2.8571428571428571E-2</v>
      </c>
      <c r="D2">
        <f t="shared" ref="D2:D15" si="0">$D$19*B2+$D$20</f>
        <v>2.7676102699144171E-2</v>
      </c>
      <c r="E2">
        <f>$D$21/(B2+$D$22)-$D$18</f>
        <v>21.132254995242626</v>
      </c>
    </row>
    <row r="3" spans="1:5" x14ac:dyDescent="0.45">
      <c r="A3">
        <v>30</v>
      </c>
      <c r="B3" s="2">
        <v>330</v>
      </c>
      <c r="C3">
        <f t="shared" ref="C2:C15" si="1">1/(A3+$D$18)</f>
        <v>2.2222222222222223E-2</v>
      </c>
      <c r="D3">
        <f t="shared" si="0"/>
        <v>2.1887605482075526E-2</v>
      </c>
      <c r="E3">
        <f t="shared" ref="E3:E10" si="2">$D$21/(B3+$D$22)-$D$18</f>
        <v>30.687958000656238</v>
      </c>
    </row>
    <row r="4" spans="1:5" x14ac:dyDescent="0.45">
      <c r="A4">
        <v>40</v>
      </c>
      <c r="B4" s="2">
        <v>280</v>
      </c>
      <c r="C4">
        <f t="shared" si="1"/>
        <v>1.8181818181818181E-2</v>
      </c>
      <c r="D4">
        <f t="shared" si="0"/>
        <v>1.867177369481517E-2</v>
      </c>
      <c r="E4">
        <f t="shared" si="2"/>
        <v>38.556775930595322</v>
      </c>
    </row>
    <row r="5" spans="1:5" x14ac:dyDescent="0.45">
      <c r="A5">
        <v>50</v>
      </c>
      <c r="B5" s="2">
        <v>250</v>
      </c>
      <c r="C5">
        <f t="shared" si="1"/>
        <v>1.5384615384615385E-2</v>
      </c>
      <c r="D5">
        <f t="shared" si="0"/>
        <v>1.6742274622458954E-2</v>
      </c>
      <c r="E5">
        <f t="shared" si="2"/>
        <v>44.729040560507123</v>
      </c>
    </row>
    <row r="6" spans="1:5" x14ac:dyDescent="0.45">
      <c r="A6">
        <v>60</v>
      </c>
      <c r="B6" s="2">
        <v>220</v>
      </c>
      <c r="C6">
        <f t="shared" si="1"/>
        <v>1.3333333333333334E-2</v>
      </c>
      <c r="D6">
        <f t="shared" si="0"/>
        <v>1.4812775550102738E-2</v>
      </c>
      <c r="E6">
        <f t="shared" si="2"/>
        <v>52.509292678985076</v>
      </c>
    </row>
    <row r="7" spans="1:5" x14ac:dyDescent="0.45">
      <c r="A7">
        <v>70</v>
      </c>
      <c r="B7" s="2">
        <v>190</v>
      </c>
      <c r="C7">
        <f t="shared" si="1"/>
        <v>1.1764705882352941E-2</v>
      </c>
      <c r="D7">
        <f t="shared" si="0"/>
        <v>1.2883276477746524E-2</v>
      </c>
      <c r="E7">
        <f t="shared" si="2"/>
        <v>62.620006193868079</v>
      </c>
    </row>
    <row r="8" spans="1:5" x14ac:dyDescent="0.45">
      <c r="A8">
        <v>80</v>
      </c>
      <c r="B8" s="2">
        <v>170</v>
      </c>
      <c r="C8">
        <f t="shared" si="1"/>
        <v>1.0526315789473684E-2</v>
      </c>
      <c r="D8">
        <f t="shared" si="0"/>
        <v>1.159694376284238E-2</v>
      </c>
      <c r="E8">
        <f t="shared" si="2"/>
        <v>71.229615358150426</v>
      </c>
    </row>
    <row r="9" spans="1:5" x14ac:dyDescent="0.45">
      <c r="A9">
        <v>90</v>
      </c>
      <c r="B9" s="2">
        <v>150</v>
      </c>
      <c r="C9">
        <f t="shared" si="1"/>
        <v>9.5238095238095247E-3</v>
      </c>
      <c r="D9">
        <f t="shared" si="0"/>
        <v>1.0310611047938236E-2</v>
      </c>
      <c r="E9">
        <f t="shared" si="2"/>
        <v>81.987462270722091</v>
      </c>
    </row>
    <row r="10" spans="1:5" x14ac:dyDescent="0.45">
      <c r="A10">
        <v>100</v>
      </c>
      <c r="B10" s="2">
        <v>130</v>
      </c>
      <c r="C10">
        <f>1/(A10+$D$18)</f>
        <v>8.6956521739130436E-3</v>
      </c>
      <c r="D10">
        <f t="shared" si="0"/>
        <v>9.0242783330340935E-3</v>
      </c>
      <c r="E10">
        <f t="shared" si="2"/>
        <v>95.812184985409857</v>
      </c>
    </row>
    <row r="11" spans="1:5" x14ac:dyDescent="0.45">
      <c r="A11">
        <v>110</v>
      </c>
      <c r="B11" s="2">
        <v>120</v>
      </c>
      <c r="C11">
        <f t="shared" si="1"/>
        <v>8.0000000000000002E-3</v>
      </c>
      <c r="D11">
        <f t="shared" si="0"/>
        <v>8.3811119755820215E-3</v>
      </c>
      <c r="E11">
        <f>$D$21/(B11+$D$22)-$D$18</f>
        <v>104.31590974007428</v>
      </c>
    </row>
    <row r="12" spans="1:5" x14ac:dyDescent="0.45">
      <c r="A12">
        <v>120</v>
      </c>
      <c r="B12" s="2">
        <v>110</v>
      </c>
      <c r="C12">
        <f t="shared" si="1"/>
        <v>7.4074074074074077E-3</v>
      </c>
      <c r="D12">
        <f t="shared" si="0"/>
        <v>7.7379456181299495E-3</v>
      </c>
      <c r="E12">
        <f t="shared" ref="E12:E15" si="3">$D$21/(B12+$D$22)-$D$18</f>
        <v>114.23326802103745</v>
      </c>
    </row>
    <row r="13" spans="1:5" x14ac:dyDescent="0.45">
      <c r="A13">
        <v>130</v>
      </c>
      <c r="B13" s="2">
        <v>100</v>
      </c>
      <c r="C13">
        <f t="shared" si="1"/>
        <v>6.8965517241379309E-3</v>
      </c>
      <c r="D13">
        <f t="shared" si="0"/>
        <v>7.0947792606778784E-3</v>
      </c>
      <c r="E13">
        <f t="shared" si="3"/>
        <v>125.94871218085706</v>
      </c>
    </row>
    <row r="14" spans="1:5" x14ac:dyDescent="0.45">
      <c r="A14">
        <v>140</v>
      </c>
      <c r="B14" s="2">
        <v>90</v>
      </c>
      <c r="C14">
        <f t="shared" si="1"/>
        <v>6.4516129032258064E-3</v>
      </c>
      <c r="D14">
        <f t="shared" si="0"/>
        <v>6.4516129032258064E-3</v>
      </c>
      <c r="E14">
        <f t="shared" si="3"/>
        <v>140</v>
      </c>
    </row>
    <row r="15" spans="1:5" x14ac:dyDescent="0.45">
      <c r="A15">
        <v>150</v>
      </c>
      <c r="B15" s="2">
        <v>70</v>
      </c>
      <c r="C15">
        <f t="shared" si="1"/>
        <v>6.0606060606060606E-3</v>
      </c>
      <c r="D15">
        <f t="shared" si="0"/>
        <v>5.1652801883216633E-3</v>
      </c>
      <c r="E15">
        <f t="shared" si="3"/>
        <v>178.60033987331997</v>
      </c>
    </row>
    <row r="18" spans="3:5" x14ac:dyDescent="0.45">
      <c r="C18" t="s">
        <v>13</v>
      </c>
      <c r="D18" s="2">
        <v>15</v>
      </c>
    </row>
    <row r="19" spans="3:5" x14ac:dyDescent="0.45">
      <c r="C19" t="s">
        <v>2</v>
      </c>
      <c r="D19">
        <f>(C2-C15)/(B2-B15)</f>
        <v>6.4316635745207169E-5</v>
      </c>
    </row>
    <row r="20" spans="3:5" x14ac:dyDescent="0.45">
      <c r="C20" t="s">
        <v>1</v>
      </c>
      <c r="D20">
        <f>C14-(D19*B14)</f>
        <v>6.6311568615716118E-4</v>
      </c>
    </row>
    <row r="21" spans="3:5" x14ac:dyDescent="0.45">
      <c r="C21" t="s">
        <v>4</v>
      </c>
      <c r="D21">
        <f>1/D19</f>
        <v>15548.076923076924</v>
      </c>
      <c r="E21" s="1" t="s">
        <v>8</v>
      </c>
    </row>
    <row r="22" spans="3:5" x14ac:dyDescent="0.45">
      <c r="C22" t="s">
        <v>5</v>
      </c>
      <c r="D22">
        <f>D20/D19</f>
        <v>10.310173697270478</v>
      </c>
      <c r="E22" s="1" t="s">
        <v>12</v>
      </c>
    </row>
    <row r="24" spans="3:5" x14ac:dyDescent="0.45">
      <c r="C24" s="1" t="s">
        <v>14</v>
      </c>
    </row>
    <row r="25" spans="3:5" x14ac:dyDescent="0.45">
      <c r="C25" t="s">
        <v>11</v>
      </c>
    </row>
    <row r="26" spans="3:5" x14ac:dyDescent="0.45">
      <c r="C26" t="s">
        <v>9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E9AF4-45C1-48AA-A6E4-B41FA3D4565F}">
  <dimension ref="A1:E26"/>
  <sheetViews>
    <sheetView tabSelected="1" zoomScale="167" zoomScaleNormal="100" workbookViewId="0">
      <selection activeCell="C6" sqref="C6"/>
    </sheetView>
  </sheetViews>
  <sheetFormatPr baseColWidth="10" defaultRowHeight="14.25" x14ac:dyDescent="0.45"/>
  <cols>
    <col min="4" max="4" width="12.46484375" bestFit="1" customWidth="1"/>
    <col min="5" max="5" width="12" customWidth="1"/>
  </cols>
  <sheetData>
    <row r="1" spans="1:5" x14ac:dyDescent="0.45">
      <c r="A1" t="s">
        <v>7</v>
      </c>
      <c r="B1" t="s">
        <v>6</v>
      </c>
      <c r="C1" t="s">
        <v>0</v>
      </c>
      <c r="D1" t="s">
        <v>3</v>
      </c>
      <c r="E1" t="s">
        <v>10</v>
      </c>
    </row>
    <row r="2" spans="1:5" x14ac:dyDescent="0.45">
      <c r="A2">
        <v>10</v>
      </c>
      <c r="B2">
        <v>500</v>
      </c>
      <c r="C2">
        <f>1/(A2+$D$18)</f>
        <v>6.6666666666666666E-2</v>
      </c>
      <c r="D2">
        <f>$D$19*B2+$D$20</f>
        <v>7.3718717193267641E-2</v>
      </c>
      <c r="E2">
        <f>$D$21/(B2+$D$22)-$D$18</f>
        <v>8.5650759816982411</v>
      </c>
    </row>
    <row r="3" spans="1:5" x14ac:dyDescent="0.45">
      <c r="A3">
        <v>20</v>
      </c>
      <c r="B3">
        <v>268</v>
      </c>
      <c r="C3">
        <f>1/(A3+$D$18)</f>
        <v>0.04</v>
      </c>
      <c r="D3">
        <f>$D$19*B3+$D$20</f>
        <v>3.9777845507805887E-2</v>
      </c>
      <c r="E3">
        <f>$D$21/(B3+$D$22)-$D$18</f>
        <v>20.139621998978377</v>
      </c>
    </row>
    <row r="4" spans="1:5" x14ac:dyDescent="0.45">
      <c r="A4">
        <v>30</v>
      </c>
      <c r="B4">
        <v>197</v>
      </c>
      <c r="C4">
        <f>1/(A4+$D$18)</f>
        <v>2.8571428571428571E-2</v>
      </c>
      <c r="D4">
        <f>$D$19*B4+$D$20</f>
        <v>2.9390768397168886E-2</v>
      </c>
      <c r="E4">
        <f>$D$21/(B4+$D$22)-$D$18</f>
        <v>29.024289072221968</v>
      </c>
    </row>
    <row r="5" spans="1:5" x14ac:dyDescent="0.45">
      <c r="A5">
        <v>40</v>
      </c>
      <c r="B5">
        <v>148</v>
      </c>
      <c r="C5">
        <f>1/(A5+$D$18)</f>
        <v>2.2222222222222223E-2</v>
      </c>
      <c r="D5">
        <f>$D$19*B5+$D$20</f>
        <v>2.2222222222222223E-2</v>
      </c>
      <c r="E5">
        <f>$D$21/(B5+$D$22)-$D$18</f>
        <v>40</v>
      </c>
    </row>
    <row r="6" spans="1:5" x14ac:dyDescent="0.45">
      <c r="A6">
        <v>50</v>
      </c>
      <c r="B6">
        <v>120</v>
      </c>
      <c r="C6">
        <f>1/(A6+$D$18)</f>
        <v>1.8181818181818181E-2</v>
      </c>
      <c r="D6">
        <f>$D$19*B6+$D$20</f>
        <v>1.8125910122252703E-2</v>
      </c>
      <c r="E6">
        <f>$D$21/(B6+$D$22)-$D$18</f>
        <v>50.169643524400264</v>
      </c>
    </row>
    <row r="7" spans="1:5" x14ac:dyDescent="0.45">
      <c r="A7">
        <v>60</v>
      </c>
      <c r="B7">
        <v>100</v>
      </c>
      <c r="C7">
        <f>1/(A7+$D$18)</f>
        <v>1.5384615384615385E-2</v>
      </c>
      <c r="D7">
        <f>$D$19*B7+$D$20</f>
        <v>1.5199972907988758E-2</v>
      </c>
      <c r="E7">
        <f>$D$21/(B7+$D$22)-$D$18</f>
        <v>60.789590945548511</v>
      </c>
    </row>
    <row r="8" spans="1:5" x14ac:dyDescent="0.45">
      <c r="A8">
        <v>70</v>
      </c>
      <c r="B8">
        <v>85</v>
      </c>
      <c r="C8">
        <f>1/(A8+$D$18)</f>
        <v>1.3333333333333334E-2</v>
      </c>
      <c r="D8">
        <f>$D$19*B8+$D$20</f>
        <v>1.30055199972908E-2</v>
      </c>
      <c r="E8">
        <f>$D$21/(B8+$D$22)-$D$18</f>
        <v>71.890428080408284</v>
      </c>
    </row>
    <row r="9" spans="1:5" x14ac:dyDescent="0.45">
      <c r="A9">
        <v>80</v>
      </c>
      <c r="B9">
        <v>75</v>
      </c>
      <c r="C9">
        <f>1/(A9+$D$18)</f>
        <v>1.1764705882352941E-2</v>
      </c>
      <c r="D9">
        <f>$D$19*B9+$D$20</f>
        <v>1.1542551390158829E-2</v>
      </c>
      <c r="E9">
        <f>$D$21/(B9+$D$22)-$D$18</f>
        <v>81.635958220866073</v>
      </c>
    </row>
    <row r="10" spans="1:5" x14ac:dyDescent="0.45">
      <c r="B10" s="3"/>
    </row>
    <row r="11" spans="1:5" x14ac:dyDescent="0.45">
      <c r="B11" s="3"/>
    </row>
    <row r="12" spans="1:5" x14ac:dyDescent="0.45">
      <c r="B12" s="3"/>
    </row>
    <row r="13" spans="1:5" x14ac:dyDescent="0.45">
      <c r="B13" s="3"/>
    </row>
    <row r="14" spans="1:5" x14ac:dyDescent="0.45">
      <c r="B14" s="3"/>
    </row>
    <row r="15" spans="1:5" x14ac:dyDescent="0.45">
      <c r="B15" s="3"/>
    </row>
    <row r="18" spans="3:5" x14ac:dyDescent="0.45">
      <c r="C18" t="s">
        <v>13</v>
      </c>
      <c r="D18" s="2">
        <v>5</v>
      </c>
    </row>
    <row r="19" spans="3:5" x14ac:dyDescent="0.45">
      <c r="C19" t="s">
        <v>2</v>
      </c>
      <c r="D19">
        <f>(C3-C9)/(B3-B9)</f>
        <v>1.4629686071319719E-4</v>
      </c>
    </row>
    <row r="20" spans="3:5" x14ac:dyDescent="0.45">
      <c r="C20" t="s">
        <v>1</v>
      </c>
      <c r="D20">
        <f>C5-(D19*B5)</f>
        <v>5.7028683666903932E-4</v>
      </c>
    </row>
    <row r="21" spans="3:5" x14ac:dyDescent="0.45">
      <c r="C21" t="s">
        <v>4</v>
      </c>
      <c r="D21">
        <f>1/D19</f>
        <v>6835.416666666667</v>
      </c>
      <c r="E21" s="1" t="s">
        <v>8</v>
      </c>
    </row>
    <row r="22" spans="3:5" x14ac:dyDescent="0.45">
      <c r="C22" t="s">
        <v>5</v>
      </c>
      <c r="D22">
        <f>D20/D19</f>
        <v>3.8981481481481626</v>
      </c>
      <c r="E22" s="1" t="s">
        <v>12</v>
      </c>
    </row>
    <row r="24" spans="3:5" x14ac:dyDescent="0.45">
      <c r="C24" s="1" t="s">
        <v>14</v>
      </c>
    </row>
    <row r="25" spans="3:5" x14ac:dyDescent="0.45">
      <c r="C25" t="s">
        <v>11</v>
      </c>
    </row>
    <row r="26" spans="3:5" x14ac:dyDescent="0.45">
      <c r="C26" t="s">
        <v>9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F75AF-5683-4D09-B045-23F9AA665E89}">
  <dimension ref="A1:E26"/>
  <sheetViews>
    <sheetView zoomScale="107" zoomScaleNormal="100" workbookViewId="0">
      <selection activeCell="C24" sqref="C24"/>
    </sheetView>
  </sheetViews>
  <sheetFormatPr baseColWidth="10" defaultRowHeight="14.25" x14ac:dyDescent="0.45"/>
  <cols>
    <col min="4" max="4" width="12.46484375" bestFit="1" customWidth="1"/>
    <col min="5" max="5" width="12" customWidth="1"/>
  </cols>
  <sheetData>
    <row r="1" spans="1:5" x14ac:dyDescent="0.45">
      <c r="A1" t="s">
        <v>7</v>
      </c>
      <c r="B1" t="s">
        <v>6</v>
      </c>
      <c r="C1" t="s">
        <v>0</v>
      </c>
      <c r="D1" t="s">
        <v>3</v>
      </c>
      <c r="E1" t="s">
        <v>10</v>
      </c>
    </row>
    <row r="2" spans="1:5" x14ac:dyDescent="0.45">
      <c r="A2">
        <v>10</v>
      </c>
      <c r="B2">
        <v>495</v>
      </c>
      <c r="C2">
        <f>1/(A2+$D$18)</f>
        <v>5.8823529411764705E-2</v>
      </c>
      <c r="D2">
        <f>$D$19*B2+$D$20</f>
        <v>6.5559312007989742E-2</v>
      </c>
      <c r="E2">
        <f>$D$21/(B2+$D$22)-$D$18</f>
        <v>8.2533632427095913</v>
      </c>
    </row>
    <row r="3" spans="1:5" x14ac:dyDescent="0.45">
      <c r="A3">
        <v>20</v>
      </c>
      <c r="B3">
        <v>273</v>
      </c>
      <c r="C3">
        <f>1/(A3+$D$18)</f>
        <v>3.7037037037037035E-2</v>
      </c>
      <c r="D3">
        <f>$D$19*B3+$D$20</f>
        <v>3.7064346760295325E-2</v>
      </c>
      <c r="E3">
        <f>$D$21/(B3+$D$22)-$D$18</f>
        <v>19.980105880922647</v>
      </c>
    </row>
    <row r="4" spans="1:5" x14ac:dyDescent="0.45">
      <c r="A4">
        <v>30</v>
      </c>
      <c r="B4">
        <v>202</v>
      </c>
      <c r="C4">
        <f>1/(A4+$D$18)</f>
        <v>2.7027027027027029E-2</v>
      </c>
      <c r="D4">
        <f>$D$19*B4+$D$20</f>
        <v>2.7951092109005666E-2</v>
      </c>
      <c r="E4">
        <f>$D$21/(B4+$D$22)-$D$18</f>
        <v>28.776777383156571</v>
      </c>
    </row>
    <row r="5" spans="1:5" x14ac:dyDescent="0.45">
      <c r="A5">
        <v>40</v>
      </c>
      <c r="B5">
        <v>150</v>
      </c>
      <c r="C5">
        <f>1/(A5+$D$18)</f>
        <v>2.1276595744680851E-2</v>
      </c>
      <c r="D5">
        <f>$D$19*B5+$D$20</f>
        <v>2.1276595744680851E-2</v>
      </c>
      <c r="E5">
        <f>$D$21/(B5+$D$22)-$D$18</f>
        <v>40.000000000000007</v>
      </c>
    </row>
    <row r="6" spans="1:5" x14ac:dyDescent="0.45">
      <c r="A6">
        <v>50</v>
      </c>
      <c r="B6">
        <v>119</v>
      </c>
      <c r="C6">
        <f>1/(A6+$D$18)</f>
        <v>1.7543859649122806E-2</v>
      </c>
      <c r="D6">
        <f>$D$19*B6+$D$20</f>
        <v>1.7297569065948745E-2</v>
      </c>
      <c r="E6">
        <f>$D$21/(B6+$D$22)-$D$18</f>
        <v>50.811591685941423</v>
      </c>
    </row>
    <row r="7" spans="1:5" x14ac:dyDescent="0.45">
      <c r="A7">
        <v>60</v>
      </c>
      <c r="B7">
        <v>98</v>
      </c>
      <c r="C7">
        <f>1/(A7+$D$18)</f>
        <v>1.4925373134328358E-2</v>
      </c>
      <c r="D7">
        <f>$D$19*B7+$D$20</f>
        <v>1.4602099380356033E-2</v>
      </c>
      <c r="E7">
        <f>$D$21/(B7+$D$22)-$D$18</f>
        <v>61.483303253317374</v>
      </c>
    </row>
    <row r="8" spans="1:5" x14ac:dyDescent="0.45">
      <c r="A8">
        <v>70</v>
      </c>
      <c r="B8">
        <v>88</v>
      </c>
      <c r="C8">
        <f>1/(A8+$D$18)</f>
        <v>1.2987012987012988E-2</v>
      </c>
      <c r="D8">
        <f>$D$19*B8+$D$20</f>
        <v>1.3318542387216645E-2</v>
      </c>
      <c r="E8">
        <f>$D$21/(B8+$D$22)-$D$18</f>
        <v>68.083291468878485</v>
      </c>
    </row>
    <row r="9" spans="1:5" x14ac:dyDescent="0.45">
      <c r="A9">
        <v>80</v>
      </c>
      <c r="B9">
        <v>74</v>
      </c>
      <c r="C9">
        <f>1/(A9+$D$18)</f>
        <v>1.1494252873563218E-2</v>
      </c>
      <c r="D9">
        <f>$D$19*B9+$D$20</f>
        <v>1.1521562596821503E-2</v>
      </c>
      <c r="E9">
        <f>$D$21/(B9+$D$22)-$D$18</f>
        <v>79.79378266589238</v>
      </c>
    </row>
    <row r="10" spans="1:5" x14ac:dyDescent="0.45">
      <c r="B10" s="3"/>
    </row>
    <row r="11" spans="1:5" x14ac:dyDescent="0.45">
      <c r="B11" s="3"/>
    </row>
    <row r="12" spans="1:5" x14ac:dyDescent="0.45">
      <c r="B12" s="3"/>
    </row>
    <row r="13" spans="1:5" x14ac:dyDescent="0.45">
      <c r="B13" s="3"/>
    </row>
    <row r="14" spans="1:5" x14ac:dyDescent="0.45">
      <c r="B14" s="3"/>
    </row>
    <row r="15" spans="1:5" x14ac:dyDescent="0.45">
      <c r="B15" s="3"/>
    </row>
    <row r="18" spans="3:5" x14ac:dyDescent="0.45">
      <c r="C18" t="s">
        <v>13</v>
      </c>
      <c r="D18" s="2">
        <v>7</v>
      </c>
    </row>
    <row r="19" spans="3:5" x14ac:dyDescent="0.45">
      <c r="C19" t="s">
        <v>2</v>
      </c>
      <c r="D19">
        <f>(C3-C9)/(B3-B9)</f>
        <v>1.2835569931393879E-4</v>
      </c>
    </row>
    <row r="20" spans="3:5" x14ac:dyDescent="0.45">
      <c r="C20" t="s">
        <v>1</v>
      </c>
      <c r="D20">
        <f>C5-(D19*B5)</f>
        <v>2.0232408475900319E-3</v>
      </c>
    </row>
    <row r="21" spans="3:5" x14ac:dyDescent="0.45">
      <c r="C21" t="s">
        <v>4</v>
      </c>
      <c r="D21">
        <f>1/D19</f>
        <v>7790.85</v>
      </c>
      <c r="E21" s="1" t="s">
        <v>8</v>
      </c>
    </row>
    <row r="22" spans="3:5" x14ac:dyDescent="0.45">
      <c r="C22" t="s">
        <v>5</v>
      </c>
      <c r="D22">
        <f>D20/D19</f>
        <v>15.762765957446801</v>
      </c>
      <c r="E22" s="1" t="s">
        <v>12</v>
      </c>
    </row>
    <row r="24" spans="3:5" x14ac:dyDescent="0.45">
      <c r="C24" s="1" t="s">
        <v>14</v>
      </c>
    </row>
    <row r="25" spans="3:5" x14ac:dyDescent="0.45">
      <c r="C25" t="s">
        <v>11</v>
      </c>
    </row>
    <row r="26" spans="3:5" x14ac:dyDescent="0.45">
      <c r="C26" t="s">
        <v>9</v>
      </c>
    </row>
  </sheetData>
  <pageMargins left="0.7" right="0.7" top="0.78740157499999996" bottom="0.78740157499999996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Front</vt:lpstr>
      <vt:lpstr>Left</vt:lpstr>
      <vt:lpstr>Right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Jahn Philipp</dc:creator>
  <cp:lastModifiedBy>Jahn Philipp</cp:lastModifiedBy>
  <dcterms:created xsi:type="dcterms:W3CDTF">2024-03-04T15:12:57Z</dcterms:created>
  <dcterms:modified xsi:type="dcterms:W3CDTF">2026-04-13T12:54:04Z</dcterms:modified>
</cp:coreProperties>
</file>