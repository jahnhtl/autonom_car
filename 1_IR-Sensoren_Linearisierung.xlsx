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ocuments\GitHub\autonom_car\"/>
    </mc:Choice>
  </mc:AlternateContent>
  <xr:revisionPtr revIDLastSave="0" documentId="13_ncr:1_{B8B35891-54BE-4329-81BF-796AD0F3D07D}" xr6:coauthVersionLast="47" xr6:coauthVersionMax="47" xr10:uidLastSave="{00000000-0000-0000-0000-000000000000}"/>
  <bookViews>
    <workbookView xWindow="-98" yWindow="-98" windowWidth="21795" windowHeight="12975" xr2:uid="{3FAD9BF2-B5AE-4568-AE41-C64B5EC617C1}"/>
  </bookViews>
  <sheets>
    <sheet name="Fron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5" i="1"/>
  <c r="C14" i="1"/>
  <c r="C3" i="1"/>
  <c r="C4" i="1"/>
  <c r="C5" i="1"/>
  <c r="C6" i="1"/>
  <c r="C7" i="1"/>
  <c r="C8" i="1"/>
  <c r="C9" i="1"/>
  <c r="C11" i="1"/>
  <c r="C12" i="1"/>
  <c r="C13" i="1"/>
  <c r="C2" i="1"/>
  <c r="D19" i="1" l="1"/>
  <c r="D21" i="1" s="1"/>
  <c r="D20" i="1"/>
  <c r="D15" i="1" s="1"/>
  <c r="D14" i="1" l="1"/>
  <c r="D22" i="1"/>
  <c r="E10" i="1" s="1"/>
  <c r="D2" i="1"/>
  <c r="D8" i="1"/>
  <c r="D4" i="1"/>
  <c r="D11" i="1"/>
  <c r="D5" i="1"/>
  <c r="D13" i="1"/>
  <c r="D10" i="1"/>
  <c r="D12" i="1"/>
  <c r="D3" i="1"/>
  <c r="D7" i="1"/>
  <c r="D9" i="1"/>
  <c r="D6" i="1"/>
  <c r="E5" i="1" l="1"/>
  <c r="E14" i="1"/>
  <c r="E12" i="1"/>
  <c r="E6" i="1"/>
  <c r="E2" i="1"/>
  <c r="E3" i="1"/>
  <c r="E4" i="1"/>
  <c r="E7" i="1"/>
  <c r="E8" i="1"/>
  <c r="E9" i="1"/>
  <c r="E15" i="1"/>
  <c r="E13" i="1"/>
  <c r="E11" i="1"/>
</calcChain>
</file>

<file path=xl/sharedStrings.xml><?xml version="1.0" encoding="utf-8"?>
<sst xmlns="http://schemas.openxmlformats.org/spreadsheetml/2006/main" count="15" uniqueCount="15">
  <si>
    <t>1 / (l+k)</t>
  </si>
  <si>
    <t>k =</t>
  </si>
  <si>
    <t>d =</t>
  </si>
  <si>
    <t>m =</t>
  </si>
  <si>
    <t>m*ADC+d</t>
  </si>
  <si>
    <t>m' =</t>
  </si>
  <si>
    <t xml:space="preserve">d' = </t>
  </si>
  <si>
    <t>ADC Werte</t>
  </si>
  <si>
    <t>Länge l</t>
  </si>
  <si>
    <t>=1/m</t>
  </si>
  <si>
    <t>=m/d</t>
  </si>
  <si>
    <t>y = Wert in Zentimeter</t>
  </si>
  <si>
    <t>x = ADC Wert</t>
  </si>
  <si>
    <t>y = (m'  / (x + d')) - k</t>
  </si>
  <si>
    <t>m'/(ADC + d') -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</si>
</sst>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Front!$B$1</c:f>
              <c:strCache>
                <c:ptCount val="1"/>
                <c:pt idx="0">
                  <c:v>ADC Werte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Front!$A$2:$A$13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</c:numCache>
            </c:numRef>
          </c:xVal>
          <c:yVal>
            <c:numRef>
              <c:f>Front!$B$2:$B$13</c:f>
              <c:numCache>
                <c:formatCode>General</c:formatCode>
                <c:ptCount val="12"/>
                <c:pt idx="0">
                  <c:v>460</c:v>
                </c:pt>
                <c:pt idx="1">
                  <c:v>330</c:v>
                </c:pt>
                <c:pt idx="2">
                  <c:v>280</c:v>
                </c:pt>
                <c:pt idx="3">
                  <c:v>250</c:v>
                </c:pt>
                <c:pt idx="4">
                  <c:v>220</c:v>
                </c:pt>
                <c:pt idx="5">
                  <c:v>190</c:v>
                </c:pt>
                <c:pt idx="6">
                  <c:v>170</c:v>
                </c:pt>
                <c:pt idx="7">
                  <c:v>150</c:v>
                </c:pt>
                <c:pt idx="8">
                  <c:v>130</c:v>
                </c:pt>
                <c:pt idx="9">
                  <c:v>120</c:v>
                </c:pt>
                <c:pt idx="10">
                  <c:v>110</c:v>
                </c:pt>
                <c:pt idx="1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6-4685-BCC2-D2FFCD3F6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575712"/>
        <c:axId val="484240688"/>
      </c:scatterChart>
      <c:valAx>
        <c:axId val="49257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4240688"/>
        <c:crosses val="autoZero"/>
        <c:crossBetween val="midCat"/>
      </c:valAx>
      <c:valAx>
        <c:axId val="4842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257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Näherungsgerade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Front!$C$1</c:f>
              <c:strCache>
                <c:ptCount val="1"/>
                <c:pt idx="0">
                  <c:v>1 / (l+k)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Front!$B$2:$B$13</c:f>
              <c:numCache>
                <c:formatCode>General</c:formatCode>
                <c:ptCount val="12"/>
                <c:pt idx="0">
                  <c:v>460</c:v>
                </c:pt>
                <c:pt idx="1">
                  <c:v>330</c:v>
                </c:pt>
                <c:pt idx="2">
                  <c:v>280</c:v>
                </c:pt>
                <c:pt idx="3">
                  <c:v>250</c:v>
                </c:pt>
                <c:pt idx="4">
                  <c:v>220</c:v>
                </c:pt>
                <c:pt idx="5">
                  <c:v>190</c:v>
                </c:pt>
                <c:pt idx="6">
                  <c:v>170</c:v>
                </c:pt>
                <c:pt idx="7">
                  <c:v>150</c:v>
                </c:pt>
                <c:pt idx="8">
                  <c:v>130</c:v>
                </c:pt>
                <c:pt idx="9">
                  <c:v>120</c:v>
                </c:pt>
                <c:pt idx="10">
                  <c:v>110</c:v>
                </c:pt>
                <c:pt idx="11">
                  <c:v>100</c:v>
                </c:pt>
              </c:numCache>
            </c:numRef>
          </c:xVal>
          <c:yVal>
            <c:numRef>
              <c:f>Front!$C$2:$C$13</c:f>
              <c:numCache>
                <c:formatCode>General</c:formatCode>
                <c:ptCount val="12"/>
                <c:pt idx="0">
                  <c:v>3.3333333333333333E-2</c:v>
                </c:pt>
                <c:pt idx="1">
                  <c:v>2.5000000000000001E-2</c:v>
                </c:pt>
                <c:pt idx="2">
                  <c:v>0.02</c:v>
                </c:pt>
                <c:pt idx="3">
                  <c:v>1.6666666666666666E-2</c:v>
                </c:pt>
                <c:pt idx="4">
                  <c:v>1.4285714285714285E-2</c:v>
                </c:pt>
                <c:pt idx="5">
                  <c:v>1.2500000000000001E-2</c:v>
                </c:pt>
                <c:pt idx="6">
                  <c:v>1.1111111111111112E-2</c:v>
                </c:pt>
                <c:pt idx="7">
                  <c:v>0.01</c:v>
                </c:pt>
                <c:pt idx="8">
                  <c:v>9.0909090909090905E-3</c:v>
                </c:pt>
                <c:pt idx="9">
                  <c:v>8.3333333333333332E-3</c:v>
                </c:pt>
                <c:pt idx="10">
                  <c:v>7.6923076923076927E-3</c:v>
                </c:pt>
                <c:pt idx="11">
                  <c:v>7.1428571428571426E-3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59-4248-922E-0CB7EC643FE7}"/>
            </c:ext>
          </c:extLst>
        </c:ser>
        <c:ser>
          <c:idx val="1"/>
          <c:order val="1"/>
          <c:tx>
            <c:strRef>
              <c:f>Front!$D$1</c:f>
              <c:strCache>
                <c:ptCount val="1"/>
                <c:pt idx="0">
                  <c:v>m*ADC+d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Front!$B$2:$B$13</c:f>
              <c:numCache>
                <c:formatCode>General</c:formatCode>
                <c:ptCount val="12"/>
                <c:pt idx="0">
                  <c:v>460</c:v>
                </c:pt>
                <c:pt idx="1">
                  <c:v>330</c:v>
                </c:pt>
                <c:pt idx="2">
                  <c:v>280</c:v>
                </c:pt>
                <c:pt idx="3">
                  <c:v>250</c:v>
                </c:pt>
                <c:pt idx="4">
                  <c:v>220</c:v>
                </c:pt>
                <c:pt idx="5">
                  <c:v>190</c:v>
                </c:pt>
                <c:pt idx="6">
                  <c:v>170</c:v>
                </c:pt>
                <c:pt idx="7">
                  <c:v>150</c:v>
                </c:pt>
                <c:pt idx="8">
                  <c:v>130</c:v>
                </c:pt>
                <c:pt idx="9">
                  <c:v>120</c:v>
                </c:pt>
                <c:pt idx="10">
                  <c:v>110</c:v>
                </c:pt>
                <c:pt idx="11">
                  <c:v>100</c:v>
                </c:pt>
              </c:numCache>
            </c:numRef>
          </c:xVal>
          <c:yVal>
            <c:numRef>
              <c:f>Front!$D$2:$D$13</c:f>
              <c:numCache>
                <c:formatCode>General</c:formatCode>
                <c:ptCount val="12"/>
                <c:pt idx="0">
                  <c:v>3.5093167701863354E-2</c:v>
                </c:pt>
                <c:pt idx="1">
                  <c:v>2.5000000000000005E-2</c:v>
                </c:pt>
                <c:pt idx="2">
                  <c:v>2.1118012422360253E-2</c:v>
                </c:pt>
                <c:pt idx="3">
                  <c:v>1.8788819875776401E-2</c:v>
                </c:pt>
                <c:pt idx="4">
                  <c:v>1.6459627329192549E-2</c:v>
                </c:pt>
                <c:pt idx="5">
                  <c:v>1.4130434782608697E-2</c:v>
                </c:pt>
                <c:pt idx="6">
                  <c:v>1.2577639751552796E-2</c:v>
                </c:pt>
                <c:pt idx="7">
                  <c:v>1.1024844720496895E-2</c:v>
                </c:pt>
                <c:pt idx="8">
                  <c:v>9.4720496894409936E-3</c:v>
                </c:pt>
                <c:pt idx="9">
                  <c:v>8.6956521739130436E-3</c:v>
                </c:pt>
                <c:pt idx="10">
                  <c:v>7.9192546583850935E-3</c:v>
                </c:pt>
                <c:pt idx="11">
                  <c:v>7.1428571428571426E-3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59-4248-922E-0CB7EC643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582432"/>
        <c:axId val="484238208"/>
      </c:scatterChart>
      <c:valAx>
        <c:axId val="49258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4238208"/>
        <c:crosses val="autoZero"/>
        <c:crossBetween val="midCat"/>
      </c:valAx>
      <c:valAx>
        <c:axId val="4842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2582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126366</xdr:colOff>
      <xdr:row>16</xdr:row>
      <xdr:rowOff>40323</xdr:rowOff>
    </xdr:from>
    <xdr:to>
      <xdr:col>10</xdr:col>
      <xdr:colOff>227240</xdr:colOff>
      <xdr:row>31</xdr:row>
      <xdr:rowOff>28077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C9E1EAD-7EAB-B118-CC27-EA73A69B2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137086</xdr:colOff>
      <xdr:row>0</xdr:row>
      <xdr:rowOff>114300</xdr:rowOff>
    </xdr:from>
    <xdr:to>
      <xdr:col>11</xdr:col>
      <xdr:colOff>470</xdr:colOff>
      <xdr:row>15</xdr:row>
      <xdr:rowOff>103615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011B83F-9E89-742D-41E1-1F174A499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5582-8EC9-4773-B372-BA84A49938AD}">
  <dimension ref="A1:E26"/>
  <sheetViews>
    <sheetView tabSelected="1" zoomScaleNormal="100" workbookViewId="0">
      <selection activeCell="D19" sqref="D19"/>
    </sheetView>
  </sheetViews>
  <sheetFormatPr baseColWidth="10" defaultRowHeight="14.25" x14ac:dyDescent="0.45"/>
  <cols>
    <col min="4" max="4" width="12.46484375" bestFit="1" customWidth="1"/>
    <col min="5" max="5" width="12" customWidth="1"/>
  </cols>
  <sheetData>
    <row r="1" spans="1:5" x14ac:dyDescent="0.45">
      <c r="A1" t="s">
        <v>8</v>
      </c>
      <c r="B1" t="s">
        <v>7</v>
      </c>
      <c r="C1" t="s">
        <v>0</v>
      </c>
      <c r="D1" t="s">
        <v>4</v>
      </c>
      <c r="E1" t="s">
        <v>14</v>
      </c>
    </row>
    <row r="2" spans="1:5" x14ac:dyDescent="0.45">
      <c r="A2">
        <v>20</v>
      </c>
      <c r="B2" s="2">
        <v>460</v>
      </c>
      <c r="C2">
        <f t="shared" ref="C2:C15" si="0">1/(A2+$D$18)</f>
        <v>3.3333333333333333E-2</v>
      </c>
      <c r="D2">
        <f t="shared" ref="D2:D15" si="1">$D$19*B2+$D$20</f>
        <v>3.5093167701863354E-2</v>
      </c>
      <c r="E2">
        <f>$D$21/(B2+$D$22)-$D$18</f>
        <v>18.495575221238933</v>
      </c>
    </row>
    <row r="3" spans="1:5" x14ac:dyDescent="0.45">
      <c r="A3">
        <v>30</v>
      </c>
      <c r="B3" s="2">
        <v>330</v>
      </c>
      <c r="C3">
        <f t="shared" si="0"/>
        <v>2.5000000000000001E-2</v>
      </c>
      <c r="D3">
        <f t="shared" si="1"/>
        <v>2.5000000000000005E-2</v>
      </c>
      <c r="E3">
        <f t="shared" ref="E3:E10" si="2">$D$21/(B3+$D$22)-$D$18</f>
        <v>29.999999999999993</v>
      </c>
    </row>
    <row r="4" spans="1:5" x14ac:dyDescent="0.45">
      <c r="A4">
        <v>40</v>
      </c>
      <c r="B4" s="2">
        <v>280</v>
      </c>
      <c r="C4">
        <f t="shared" si="0"/>
        <v>0.02</v>
      </c>
      <c r="D4">
        <f t="shared" si="1"/>
        <v>2.1118012422360253E-2</v>
      </c>
      <c r="E4">
        <f t="shared" si="2"/>
        <v>37.35294117647058</v>
      </c>
    </row>
    <row r="5" spans="1:5" x14ac:dyDescent="0.45">
      <c r="A5">
        <v>50</v>
      </c>
      <c r="B5" s="2">
        <v>250</v>
      </c>
      <c r="C5">
        <f t="shared" si="0"/>
        <v>1.6666666666666666E-2</v>
      </c>
      <c r="D5">
        <f t="shared" si="1"/>
        <v>1.8788819875776401E-2</v>
      </c>
      <c r="E5">
        <f t="shared" si="2"/>
        <v>43.223140495867767</v>
      </c>
    </row>
    <row r="6" spans="1:5" x14ac:dyDescent="0.45">
      <c r="A6">
        <v>60</v>
      </c>
      <c r="B6" s="2">
        <v>220</v>
      </c>
      <c r="C6">
        <f t="shared" si="0"/>
        <v>1.4285714285714285E-2</v>
      </c>
      <c r="D6">
        <f t="shared" si="1"/>
        <v>1.6459627329192549E-2</v>
      </c>
      <c r="E6">
        <f t="shared" si="2"/>
        <v>50.754716981132077</v>
      </c>
    </row>
    <row r="7" spans="1:5" x14ac:dyDescent="0.45">
      <c r="A7">
        <v>70</v>
      </c>
      <c r="B7" s="2">
        <v>190</v>
      </c>
      <c r="C7">
        <f t="shared" si="0"/>
        <v>1.2500000000000001E-2</v>
      </c>
      <c r="D7">
        <f t="shared" si="1"/>
        <v>1.4130434782608697E-2</v>
      </c>
      <c r="E7">
        <f t="shared" si="2"/>
        <v>60.769230769230774</v>
      </c>
    </row>
    <row r="8" spans="1:5" x14ac:dyDescent="0.45">
      <c r="A8">
        <v>80</v>
      </c>
      <c r="B8" s="2">
        <v>170</v>
      </c>
      <c r="C8">
        <f t="shared" si="0"/>
        <v>1.1111111111111112E-2</v>
      </c>
      <c r="D8">
        <f t="shared" si="1"/>
        <v>1.2577639751552796E-2</v>
      </c>
      <c r="E8">
        <f t="shared" si="2"/>
        <v>69.506172839506178</v>
      </c>
    </row>
    <row r="9" spans="1:5" x14ac:dyDescent="0.45">
      <c r="A9">
        <v>90</v>
      </c>
      <c r="B9" s="2">
        <v>150</v>
      </c>
      <c r="C9">
        <f t="shared" si="0"/>
        <v>0.01</v>
      </c>
      <c r="D9">
        <f t="shared" si="1"/>
        <v>1.1024844720496895E-2</v>
      </c>
      <c r="E9">
        <f t="shared" si="2"/>
        <v>80.704225352112687</v>
      </c>
    </row>
    <row r="10" spans="1:5" x14ac:dyDescent="0.45">
      <c r="A10">
        <v>100</v>
      </c>
      <c r="B10" s="2">
        <v>130</v>
      </c>
      <c r="C10">
        <f>1/(A10+$D$18)</f>
        <v>9.0909090909090905E-3</v>
      </c>
      <c r="D10">
        <f t="shared" si="1"/>
        <v>9.4720496894409936E-3</v>
      </c>
      <c r="E10">
        <f t="shared" si="2"/>
        <v>95.573770491803288</v>
      </c>
    </row>
    <row r="11" spans="1:5" x14ac:dyDescent="0.45">
      <c r="A11">
        <v>110</v>
      </c>
      <c r="B11" s="2">
        <v>120</v>
      </c>
      <c r="C11">
        <f t="shared" si="0"/>
        <v>8.3333333333333332E-3</v>
      </c>
      <c r="D11">
        <f t="shared" si="1"/>
        <v>8.6956521739130436E-3</v>
      </c>
      <c r="E11">
        <f>$D$21/(B11+$D$22)-$D$18</f>
        <v>105.00000000000001</v>
      </c>
    </row>
    <row r="12" spans="1:5" x14ac:dyDescent="0.45">
      <c r="A12">
        <v>120</v>
      </c>
      <c r="B12" s="2">
        <v>110</v>
      </c>
      <c r="C12">
        <f t="shared" si="0"/>
        <v>7.6923076923076927E-3</v>
      </c>
      <c r="D12">
        <f t="shared" si="1"/>
        <v>7.9192546583850935E-3</v>
      </c>
      <c r="E12">
        <f t="shared" ref="E12:E15" si="3">$D$21/(B12+$D$22)-$D$18</f>
        <v>116.27450980392159</v>
      </c>
    </row>
    <row r="13" spans="1:5" x14ac:dyDescent="0.45">
      <c r="A13">
        <v>130</v>
      </c>
      <c r="B13" s="2">
        <v>100</v>
      </c>
      <c r="C13">
        <f t="shared" si="0"/>
        <v>7.1428571428571426E-3</v>
      </c>
      <c r="D13">
        <f t="shared" si="1"/>
        <v>7.1428571428571426E-3</v>
      </c>
      <c r="E13">
        <f t="shared" si="3"/>
        <v>130.00000000000003</v>
      </c>
    </row>
    <row r="14" spans="1:5" x14ac:dyDescent="0.45">
      <c r="A14">
        <v>140</v>
      </c>
      <c r="B14" s="2">
        <v>90</v>
      </c>
      <c r="C14">
        <f t="shared" si="0"/>
        <v>6.6666666666666671E-3</v>
      </c>
      <c r="D14">
        <f t="shared" si="1"/>
        <v>6.3664596273291917E-3</v>
      </c>
      <c r="E14">
        <f t="shared" si="3"/>
        <v>147.07317073170734</v>
      </c>
    </row>
    <row r="15" spans="1:5" x14ac:dyDescent="0.45">
      <c r="A15">
        <v>150</v>
      </c>
      <c r="B15" s="2">
        <v>60</v>
      </c>
      <c r="C15">
        <f t="shared" si="0"/>
        <v>6.2500000000000003E-3</v>
      </c>
      <c r="D15">
        <f t="shared" si="1"/>
        <v>4.0372670807453407E-3</v>
      </c>
      <c r="E15">
        <f t="shared" si="3"/>
        <v>237.69230769230776</v>
      </c>
    </row>
    <row r="18" spans="3:5" x14ac:dyDescent="0.45">
      <c r="C18" t="s">
        <v>1</v>
      </c>
      <c r="D18" s="2">
        <v>10</v>
      </c>
    </row>
    <row r="19" spans="3:5" x14ac:dyDescent="0.45">
      <c r="C19" t="s">
        <v>3</v>
      </c>
      <c r="D19">
        <f>(C3-C13)/(B3-B13)</f>
        <v>7.7639751552795047E-5</v>
      </c>
    </row>
    <row r="20" spans="3:5" x14ac:dyDescent="0.45">
      <c r="C20" t="s">
        <v>2</v>
      </c>
      <c r="D20">
        <f>C13-(D19*B13)</f>
        <v>-6.2111801242236211E-4</v>
      </c>
    </row>
    <row r="21" spans="3:5" x14ac:dyDescent="0.45">
      <c r="C21" t="s">
        <v>5</v>
      </c>
      <c r="D21">
        <f>1/D19</f>
        <v>12879.999999999998</v>
      </c>
      <c r="E21" s="1" t="s">
        <v>9</v>
      </c>
    </row>
    <row r="22" spans="3:5" x14ac:dyDescent="0.45">
      <c r="C22" t="s">
        <v>6</v>
      </c>
      <c r="D22">
        <f>D20/D19</f>
        <v>-8.0000000000000231</v>
      </c>
      <c r="E22" s="1" t="s">
        <v>10</v>
      </c>
    </row>
    <row r="24" spans="3:5" x14ac:dyDescent="0.45">
      <c r="C24" s="1" t="s">
        <v>13</v>
      </c>
    </row>
    <row r="25" spans="3:5" x14ac:dyDescent="0.45">
      <c r="C25" t="s">
        <v>11</v>
      </c>
    </row>
    <row r="26" spans="3:5" x14ac:dyDescent="0.45">
      <c r="C26" t="s">
        <v>12</v>
      </c>
    </row>
  </sheetData>
  <pageMargins left="0.7" right="0.7" top="0.78740157499999996" bottom="0.78740157499999996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 Philipp</dc:creator>
  <cp:lastModifiedBy>Jahn Philipp</cp:lastModifiedBy>
  <dcterms:created xsi:type="dcterms:W3CDTF">2024-03-04T15:12:57Z</dcterms:created>
  <dcterms:modified xsi:type="dcterms:W3CDTF">2026-03-02T12:06:13Z</dcterms:modified>
</cp:coreProperties>
</file>